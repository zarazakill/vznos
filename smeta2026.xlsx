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?><Relationships xmlns="http://schemas.openxmlformats.org/package/2006/relationships"><Relationship Id="rId4" Type="http://schemas.openxmlformats.org/officeDocument/2006/relationships/officeDocument" Target="xl/workbook.xml"/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s:workbook xmlns:r="http://schemas.openxmlformats.org/officeDocument/2006/relationships" xmlns:s="http://schemas.openxmlformats.org/spreadsheetml/2006/main">
  <s:workbookPr date1904="0"/>
  <s:workbookProtection/>
  <s:bookViews>
    <s:workbookView xWindow="360" yWindow="15" windowWidth="20955" windowHeight="9720" activeTab="0"/>
  </s:bookViews>
  <s:sheets>
    <s:sheet name="table-0228ec76-0b25-47a6-a2bc-7" sheetId="1" state="visible" r:id="rId1"/>
  </s:sheets>
  <s:calcPr refMode="A1" iterate="0" iterateCount="100" iterateDelta="0.001"/>
</s:workbook>
</file>

<file path=xl/sharedStrings.xml><?xml version="1.0" encoding="utf-8"?>
<s:sst xmlns:s="http://schemas.openxmlformats.org/spreadsheetml/2006/main" count="48" uniqueCount="48">
  <s:si>
    <s:t xml:space="preserve">Наименование платежа</s:t>
  </s:si>
  <s:si>
    <s:t>Доходы</s:t>
  </s:si>
  <s:si>
    <s:t>План</s:t>
  </s:si>
  <s:si>
    <s:t>Факт</s:t>
  </s:si>
  <s:si>
    <s:t xml:space="preserve">Общая площадь участков в СОТКАХ</s:t>
  </s:si>
  <s:si>
    <s:t xml:space="preserve">8,88 сотки безнадежные долги + 8 соток чл. правления (4 чел.х 2 сотки)</s:t>
  </s:si>
  <s:si>
    <s:t xml:space="preserve">Остаток средств на 01.05.2025 года</s:t>
  </s:si>
  <s:si>
    <s:t xml:space="preserve">Сумма целевых взносов</s:t>
  </s:si>
  <s:si>
    <s:t xml:space="preserve">ОТДЕЛЬНАЯ СМЕТА</s:t>
  </s:si>
  <s:si>
    <s:t xml:space="preserve">Остаток суммы взносов за 2024 года</s:t>
  </s:si>
  <s:si>
    <s:t xml:space="preserve">Содержание аппарата. Уплата налогов</s:t>
  </s:si>
  <s:si>
    <s:t xml:space="preserve">Зарплата председателя (21000 6мес+5000 6мес)</s:t>
  </s:si>
  <s:si>
    <s:t xml:space="preserve">Зарплата бухгалтера (6000 6мес+5000 6мес)</s:t>
  </s:si>
  <s:si>
    <s:t xml:space="preserve">Зарплата электрика (5000*5мес)</s:t>
  </s:si>
  <s:si>
    <s:t xml:space="preserve">Компенсация ГСМ и связи председателя (1200.0*12мес)</s:t>
  </s:si>
  <s:si>
    <s:t xml:space="preserve">Компенсация ревизионной комиссии</s:t>
  </s:si>
  <s:si>
    <s:t xml:space="preserve">Компенсация связи членам правления</s:t>
  </s:si>
  <s:si>
    <s:t xml:space="preserve">Налоги и банковское обслуживание</s:t>
  </s:si>
  <s:si>
    <s:t xml:space="preserve">Содержание сторожа</s:t>
  </s:si>
  <s:si>
    <s:t xml:space="preserve">Зарплата сторожа (15000*12мес)</s:t>
  </s:si>
  <s:si>
    <s:t xml:space="preserve">Дрова сторожу</s:t>
  </s:si>
  <s:si>
    <s:t xml:space="preserve">Электроэнергия сторожу</s:t>
  </s:si>
  <s:si>
    <s:t xml:space="preserve">Компенсация сотовой связи сторожу (350*12мес)</s:t>
  </s:si>
  <s:si>
    <s:t xml:space="preserve">Компенсация содержания собаки сторожа (3000*12мес)</s:t>
  </s:si>
  <s:si>
    <s:t>Водоснабжение</s:t>
  </s:si>
  <s:si>
    <s:t xml:space="preserve">Демонтаж насосной. Слив воды из труб осенью</s:t>
  </s:si>
  <s:si>
    <s:t xml:space="preserve">Монтаж насосной весной. Запуск подачи воды</s:t>
  </s:si>
  <s:si>
    <s:t xml:space="preserve">Электроэнергия на общие нужды</s:t>
  </s:si>
  <s:si>
    <s:t xml:space="preserve">Компенсация водолею (6000*5 мес)</s:t>
  </s:si>
  <s:si>
    <s:t xml:space="preserve">Детали водоснабжения (задвижки, клапана и т.п.).</s:t>
  </s:si>
  <s:si>
    <s:t>Электроснабжение</s:t>
  </s:si>
  <s:si>
    <s:t xml:space="preserve">Обслуживание ТП</s:t>
  </s:si>
  <s:si>
    <s:t xml:space="preserve">Покрытие неучтенных затрат по электроэнергии</s:t>
  </s:si>
  <s:si>
    <s:t xml:space="preserve">Хозяйственная деятельность</s:t>
  </s:si>
  <s:si>
    <s:t xml:space="preserve">Страхование дома сторожа</s:t>
  </s:si>
  <s:si>
    <s:t xml:space="preserve">Очистка дорог от снега. ГСМ на снегоуборочник</s:t>
  </s:si>
  <s:si>
    <s:t xml:space="preserve">Уборка дороги до дома сторожа (1000*12мес)</s:t>
  </s:si>
  <s:si>
    <s:t xml:space="preserve">Покос травы</s:t>
  </s:si>
  <s:si>
    <s:t xml:space="preserve">Вывоз мусора</s:t>
  </s:si>
  <s:si>
    <s:t xml:space="preserve">Непредвиденные расходы</s:t>
  </s:si>
  <s:si>
    <s:t xml:space="preserve">Покупка электродов, отрезных кругов и т.д.</s:t>
  </s:si>
  <s:si>
    <s:t xml:space="preserve">Продление лицензии программы 1С для бухгалтера</s:t>
  </s:si>
  <s:si>
    <s:t>Канцтовары</s:t>
  </s:si>
  <s:si>
    <s:t xml:space="preserve">Долевое содержание общей дороги</s:t>
  </s:si>
  <s:si>
    <s:t xml:space="preserve">Покупка компьютера (ноутбука)</s:t>
  </s:si>
  <s:si>
    <s:t xml:space="preserve">Итого: хозяйственная деятельность</s:t>
  </s:si>
  <s:si>
    <s:t>Итого:</s:t>
  </s:si>
  <s:si>
    <s:t xml:space="preserve">Размер взноса за 1 сотку</s:t>
  </s:si>
  <s:si>
    <s:t>Зарплата председателя (26000мес+10000 6мес)</s:t>
  </s:si>
  <s:si>
    <s:t>Зарплата председателя (26000 6мес+10000 6мес)</s:t>
  </s:si>
  <s:si>
    <s:t>Зарплата бухгалтера (8000 6мес+7000 6мес)</s:t>
  </s:si>
  <s:si>
    <s:t>Зарплата электрика (6000*5мес)</s:t>
  </s:si>
  <s:si>
    <s:t>Зарплата сторожа (17000*12мес)</s:t>
  </s:si>
  <s:si>
    <s:t>Компенсация содержания собаки сторожа (3500*12мес)</s:t>
  </s:si>
  <s:si>
    <s:t>Компенсация водолею (12000*5 мес)</s:t>
  </s:si>
</s:sst>
</file>

<file path=xl/styles.xml><?xml version="1.0" encoding="utf-8"?>
<s:styleSheet xmlns:x16r2="http://schemas.microsoft.com/office/spreadsheetml/2015/02/main" xmlns:x14ac="http://schemas.microsoft.com/office/spreadsheetml/2009/9/ac" xmlns:x14="http://schemas.microsoft.com/office/spreadsheetml/2009/9/main" xmlns:mc="http://schemas.openxmlformats.org/markup-compatibility/2006" xmlns:vyd="http://volga.yandex.com/schemas/document/model" xmlns:s="http://schemas.openxmlformats.org/spreadsheetml/2006/main" mc:Ignorable="x14ac x16r2">
  <s:numFmts count="2">
    <s:numFmt numFmtId="160" formatCode="_-* #,##0.00\ [$₽-19]_-;\-* #,##0.00\ [$₽-19]_-;_-* &quot;-&quot;??\ [$₽-19]_-;_-@_-"/>
    <s:numFmt numFmtId="161" formatCode="#,##0.00\ [$₽-19]"/>
  </s:numFmts>
  <s:fonts count="6">
    <s:font>
      <s:name val="Arial"/>
      <s:color theme="1"/>
      <s:sz val="10"/>
    </s:font>
    <s:font>
      <s:name val="Arial"/>
      <s:sz val="10"/>
    </s:font>
    <s:font>
      <s:name val="Arial"/>
      <s:b val="1"/>
      <s:color theme="1"/>
      <s:sz val="12"/>
    </s:font>
    <s:font>
      <s:name val="Arial"/>
      <s:b val="1"/>
      <s:color theme="1"/>
      <s:sz val="10"/>
    </s:font>
    <s:font>
      <s:name val="Arial"/>
      <s:color theme="1" tint="0"/>
      <s:sz val="10"/>
    </s:font>
    <s:font>
      <s:name val="Arial"/>
      <s:b val="1"/>
      <s:color theme="1"/>
      <s:sz val="11"/>
    </s:font>
  </s:fonts>
  <s:fills count="2">
    <s:fill>
      <s:patternFill patternType="none"/>
    </s:fill>
    <s:fill>
      <s:patternFill patternType="gray125"/>
    </s:fill>
  </s:fills>
  <s:borders count="8">
    <s:border>
      <s:left style="none"/>
      <s:right style="none"/>
      <s:top style="none"/>
      <s:bottom style="none"/>
      <s:diagonal style="none"/>
    </s:border>
    <s:border>
      <s:left style="medium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 style="none"/>
    </s:border>
    <s:border>
      <s:left style="thin">
        <s:color auto="1"/>
      </s:left>
      <s:right style="thin">
        <s:color auto="1"/>
      </s:right>
      <s:top style="medium">
        <s:color auto="1"/>
      </s:top>
      <s:bottom style="medium">
        <s:color auto="1"/>
      </s:bottom>
      <s:diagonal style="none"/>
    </s:border>
    <s:border>
      <s:left style="thin">
        <s:color auto="1"/>
      </s:left>
      <s:right style="medium">
        <s:color auto="1"/>
      </s:right>
      <s:top style="medium">
        <s:color auto="1"/>
      </s:top>
      <s:bottom style="medium">
        <s:color auto="1"/>
      </s:bottom>
      <s:diagonal style="none"/>
    </s:border>
    <s:border>
      <s:left style="thin">
        <s:color theme="1"/>
      </s:left>
      <s:right style="thin">
        <s:color theme="1"/>
      </s:right>
      <s:top style="none"/>
      <s:bottom style="thin">
        <s:color theme="1"/>
      </s:bottom>
      <s:diagonal style="none"/>
    </s:border>
    <s:border>
      <s:left style="thin">
        <s:color theme="1"/>
      </s:left>
      <s:right style="thin">
        <s:color theme="1"/>
      </s:right>
      <s:top style="thin">
        <s:color theme="1"/>
      </s:top>
      <s:bottom style="thin">
        <s:color theme="1"/>
      </s:bottom>
      <s:diagonal style="none"/>
    </s:border>
    <s:border>
      <s:left style="thin">
        <s:color theme="1"/>
      </s:left>
      <s:right style="none"/>
      <s:top style="thin">
        <s:color theme="1"/>
      </s:top>
      <s:bottom style="thin">
        <s:color theme="1"/>
      </s:bottom>
      <s:diagonal style="none"/>
    </s:border>
    <s:border>
      <s:left style="none"/>
      <s:right style="thin">
        <s:color theme="1"/>
      </s:right>
      <s:top style="thin">
        <s:color theme="1"/>
      </s:top>
      <s:bottom style="thin">
        <s:color theme="1"/>
      </s:bottom>
      <s:diagonal style="none"/>
    </s:border>
  </s:borders>
  <s:cellStyleXfs count="6">
    <s:xf numFmtId="0" fontId="0" fillId="0" borderId="0" applyNumberFormat="1" applyFont="1" applyFill="1" applyBorder="1" applyProtection="1">
      <s:protection locked="1" hidden="0"/>
    </s:xf>
    <s:xf numFmtId="43" fontId="1" fillId="0" borderId="0" applyNumberFormat="1" applyFont="1" applyFill="1" applyBorder="0" applyProtection="0"/>
    <s:xf numFmtId="41" fontId="1" fillId="0" borderId="0" applyNumberFormat="1" applyFont="1" applyFill="1" applyBorder="0" applyProtection="0"/>
    <s:xf numFmtId="44" fontId="1" fillId="0" borderId="0" applyNumberFormat="1" applyFont="1" applyFill="1" applyBorder="0" applyProtection="0"/>
    <s:xf numFmtId="42" fontId="1" fillId="0" borderId="0" applyNumberFormat="1" applyFont="1" applyFill="1" applyBorder="0" applyProtection="0"/>
    <s:xf numFmtId="9" fontId="1" fillId="0" borderId="0" applyNumberFormat="1" applyFont="1" applyFill="1" applyBorder="0" applyProtection="0"/>
  </s:cellStyleXfs>
  <s:cellXfs count="18">
    <s:xf numFmtId="0" fontId="0" fillId="0" borderId="0" xfId="0" applyProtection="0">
      <s:protection locked="1" hidden="0"/>
    </s:xf>
    <s:xf numFmtId="0" fontId="0" fillId="0" borderId="0" xfId="0" applyProtection="1">
      <s:protection locked="1" hidden="0"/>
    </s:xf>
    <s:xf numFmtId="0" fontId="2" fillId="0" borderId="1" xfId="0" applyFont="1" applyBorder="1" applyAlignment="1" applyProtection="1">
      <s:alignment horizontal="center" vertical="center" mc:Ignorable="vyd"/>
      <s:protection locked="1" hidden="0"/>
    </s:xf>
    <s:xf numFmtId="0" fontId="2" fillId="0" borderId="2" xfId="0" applyFont="1" applyBorder="1" applyAlignment="1" applyProtection="1">
      <s:alignment horizontal="center" vertical="center" mc:Ignorable="vyd"/>
      <s:protection locked="1" hidden="0"/>
    </s:xf>
    <s:xf numFmtId="0" fontId="2" fillId="0" borderId="3" xfId="0" applyFont="1" applyBorder="1" applyAlignment="1" applyProtection="0">
      <s:alignment horizontal="center" vertical="center" mc:Ignorable="vyd"/>
      <s:protection locked="1" hidden="0"/>
    </s:xf>
    <s:xf numFmtId="0" fontId="0" fillId="0" borderId="4" xfId="0" applyBorder="1" applyAlignment="1" applyProtection="1">
      <s:alignment vertical="center" mc:Ignorable="vyd"/>
      <s:protection locked="1" hidden="0"/>
    </s:xf>
    <s:xf numFmtId="160" fontId="0" fillId="0" borderId="4" xfId="0" applyNumberFormat="1" applyBorder="1" applyAlignment="1" applyProtection="1">
      <s:alignment vertical="center" mc:Ignorable="vyd"/>
      <s:protection locked="1" hidden="0"/>
    </s:xf>
    <s:xf numFmtId="0" fontId="3" fillId="0" borderId="5" xfId="0" applyFont="1" applyBorder="1" applyAlignment="1" applyProtection="1">
      <s:alignment vertical="center" mc:Ignorable="vyd"/>
      <s:protection locked="1" hidden="0"/>
    </s:xf>
    <s:xf numFmtId="160" fontId="0" fillId="0" borderId="5" xfId="0" applyNumberFormat="1" applyBorder="1" applyAlignment="1" applyProtection="1">
      <s:alignment vertical="center" mc:Ignorable="vyd"/>
      <s:protection locked="1" hidden="0"/>
    </s:xf>
    <s:xf numFmtId="161" fontId="0" fillId="0" borderId="5" xfId="0" applyNumberFormat="1" applyBorder="1" applyAlignment="1" applyProtection="0">
      <s:alignment vertical="center" mc:Ignorable="vyd"/>
      <s:protection locked="1" hidden="0"/>
    </s:xf>
    <s:xf numFmtId="0" fontId="0" fillId="0" borderId="5" xfId="0" applyBorder="1" applyAlignment="1" applyProtection="1">
      <s:alignment vertical="center" mc:Ignorable="vyd"/>
      <s:protection locked="1" hidden="0"/>
    </s:xf>
    <s:xf numFmtId="160" fontId="3" fillId="0" borderId="6" xfId="0" applyNumberFormat="1" applyFont="1" applyBorder="1" applyAlignment="1" applyProtection="1">
      <s:alignment horizontal="center" vertical="center" mc:Ignorable="vyd"/>
      <s:protection locked="1" hidden="0"/>
    </s:xf>
    <s:xf numFmtId="160" fontId="3" fillId="0" borderId="7" xfId="0" applyNumberFormat="1" applyFont="1" applyBorder="1" applyAlignment="1" applyProtection="1">
      <s:alignment horizontal="center" vertical="center" mc:Ignorable="vyd"/>
      <s:protection locked="1" hidden="0"/>
    </s:xf>
    <s:xf numFmtId="0" fontId="3" fillId="0" borderId="5" xfId="0" applyFont="1" applyBorder="1" applyAlignment="1" applyProtection="1">
      <s:alignment horizontal="right" vertical="center" mc:Ignorable="vyd"/>
      <s:protection locked="1" hidden="0"/>
    </s:xf>
    <s:xf numFmtId="160" fontId="4" fillId="0" borderId="5" xfId="0" applyNumberFormat="1" applyFont="1" applyBorder="1" applyAlignment="1" applyProtection="1">
      <s:alignment vertical="center" mc:Ignorable="vyd"/>
      <s:protection locked="1" hidden="0"/>
    </s:xf>
    <s:xf numFmtId="161" fontId="5" fillId="0" borderId="5" xfId="0" applyNumberFormat="1" applyFont="1" applyBorder="1" applyAlignment="1" applyProtection="1">
      <s:alignment vertical="center" mc:Ignorable="vyd"/>
      <s:protection locked="1" hidden="0"/>
    </s:xf>
    <s:xf numFmtId="160" fontId="2" fillId="0" borderId="5" xfId="0" applyNumberFormat="1" applyFont="1" applyBorder="1" applyAlignment="1" applyProtection="1">
      <s:alignment vertical="center" mc:Ignorable="vyd"/>
      <s:protection locked="1" hidden="0"/>
    </s:xf>
    <s:xf numFmtId="0" fontId="0" fillId="0" borderId="5" xfId="0" applyBorder="1" applyAlignment="1" applyProtection="0">
      <s:alignment vertical="center" mc:Ignorable="vyd"/>
      <s:protection locked="1" hidden="0"/>
    </s:xf>
  </s:cellXfs>
  <s:cellStyles count="6">
    <s:cellStyle name="Normal" xfId="0" builtinId="0"/>
    <s:cellStyle name="Comma" xfId="1" builtinId="3"/>
    <s:cellStyle name="Comma [0]" xfId="2" builtinId="6"/>
    <s:cellStyle name="Currency" xfId="3" builtinId="4"/>
    <s:cellStyle name="Currency [0]" xfId="4" builtinId="7"/>
    <s:cellStyle name="Percent" xfId="5" builtinId="5"/>
  </s:cellStyles>
  <s:dxfs count="1">
    <s:dxf>
      <s:fill>
        <s:patternFill patternType="solid">
          <s:fgColor rgb="FFF2F2F2"/>
          <s:bgColor rgb="FFF2F2F2"/>
        </s:patternFill>
      </s:fill>
    </s:dxf>
  </s:dxfs>
  <s:tableStyles count="0" defaultTableStyle="TableStyleMedium2" defaultPivotStyle="PivotStyleLight16"/>
  <s:extLst>
    <s:ext uri="{EB79DEF2-80B8-43e5-95BD-54CBDDF9020C}">
      <x14:slicerStyles defaultSlicerStyle="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s:worksheet xmlns:mc="http://schemas.openxmlformats.org/markup-compatibility/2006" xmlns:x14ac="http://schemas.microsoft.com/office/spreadsheetml/2009/9/ac" xmlns:s="http://schemas.openxmlformats.org/spreadsheetml/2006/main" mc:Ignorable="x14ac">
  <s:sheetPr filterMode="0">
    <s:outlinePr applyStyles="0" summaryBelow="1" summaryRight="1" showOutlineSymbols="1"/>
    <s:pageSetUpPr autoPageBreaks="1" fitToPage="0"/>
  </s:sheetPr>
  <s:sheetViews>
    <s:sheetView showGridLines="1" showRowColHeaders="1" showZeros="1" tabSelected="0" view="normal" topLeftCell="A19" zoomScale="100" workbookViewId="0">
      <s:selection activeCell="C47" activeCellId="0" sqref="C47"/>
    </s:sheetView>
  </s:sheetViews>
  <s:sheetFormatPr defaultColWidth="11.535" defaultRowHeight="12.8" customHeight="1"/>
  <s:cols>
    <s:col min="1" max="1" width="1.293" customWidth="1"/>
    <s:col min="2" max="2" width="52.004" style="1" customWidth="1"/>
    <s:col min="3" max="4" width="17.004" style="1" customWidth="1"/>
    <s:col min="5" max="5" width="17.004" customWidth="1"/>
  </s:cols>
  <s:sheetData>
    <s:row r="1" ht="7.5" customHeight="1">
      <s:c r="B1" s="1"/>
      <s:c r="D1" s="1"/>
    </s:row>
    <s:row r="2" ht="24.75" customHeight="1">
      <s:c r="B2" s="2" t="s">
        <s:v>0</s:v>
      </s:c>
      <s:c r="C2" s="3" t="s">
        <s:v>1</s:v>
      </s:c>
      <s:c r="D2" s="3" t="s">
        <s:v>2</s:v>
      </s:c>
      <s:c r="E2" s="4" t="s">
        <s:v>3</s:v>
      </s:c>
    </s:row>
    <s:row r="3" ht="12.75" customHeight="1">
      <s:c r="B3" s="5" t="s">
        <s:v>4</s:v>
      </s:c>
      <s:c r="C3" s="6"/>
      <s:c r="D3" s="5"/>
      <s:c r="E3" s="5">
        <s:v>935.85000000000002</s:v>
      </s:c>
    </s:row>
    <s:row r="4" ht="12.75" customHeight="1">
      <s:c r="B4" s="5" t="s">
        <s:v>5</s:v>
      </s:c>
      <s:c r="C4" s="6"/>
      <s:c r="D4" s="5"/>
      <s:c r="E4" s="5">
        <s:v>918.97000000000003</s:v>
      </s:c>
    </s:row>
    <s:row r="5" ht="12.75" customHeight="1">
      <s:c r="B5" s="7"/>
      <s:c r="C5" s="8"/>
      <s:c r="D5" s="8"/>
      <s:c r="E5" s="9"/>
    </s:row>
    <s:row r="6" ht="12.75" customHeight="1">
      <s:c r="B6" s="10"/>
      <s:c r="C6" s="8"/>
      <s:c r="D6" s="8"/>
      <s:c r="E6" s="9"/>
    </s:row>
    <s:row r="7" ht="12.75" customHeight="1">
      <s:c r="B7" s="13" t="s">
        <s:v>10</s:v>
      </s:c>
      <s:c r="C7" s="8"/>
      <s:c r="D7" s="8"/>
      <s:c r="E7" s="9"/>
    </s:row>
    <s:row r="8" ht="12.75" customHeight="1">
      <s:c r="B8" s="10" t="s">
        <s:v>49</s:v>
      </s:c>
      <s:c r="C8" s="8"/>
      <s:c r="D8" s="8">
        <s:v>216000</s:v>
      </s:c>
      <s:c r="E8" s="9"/>
    </s:row>
    <s:row r="9" ht="12.75" customHeight="1">
      <s:c r="B9" s="10" t="s">
        <s:v>50</s:v>
      </s:c>
      <s:c r="C9" s="8"/>
      <s:c r="D9" s="8">
        <s:v>90000</s:v>
      </s:c>
      <s:c r="E9" s="9"/>
    </s:row>
    <s:row r="10" ht="12.75" customHeight="1">
      <s:c r="B10" s="10" t="s">
        <s:v>51</s:v>
      </s:c>
      <s:c r="C10" s="8"/>
      <s:c r="D10" s="8">
        <s:v>30000</s:v>
      </s:c>
      <s:c r="E10" s="9"/>
    </s:row>
    <s:row r="11" ht="12.75" customHeight="1">
      <s:c r="B11" s="10" t="s">
        <s:v>14</s:v>
      </s:c>
      <s:c r="C11" s="8"/>
      <s:c r="D11" s="8">
        <s:v>14400</s:v>
      </s:c>
      <s:c r="E11" s="9"/>
    </s:row>
    <s:row r="12" ht="12.75" customHeight="1">
      <s:c r="B12" s="10" t="s">
        <s:v>15</s:v>
      </s:c>
      <s:c r="C12" s="8"/>
      <s:c r="D12" s="8">
        <s:v>3000</s:v>
      </s:c>
      <s:c r="E12" s="9"/>
    </s:row>
    <s:row r="13" ht="12.75" customHeight="1">
      <s:c r="B13" s="10" t="s">
        <s:v>16</s:v>
      </s:c>
      <s:c r="C13" s="8"/>
      <s:c r="D13" s="8">
        <s:v>2000</s:v>
      </s:c>
      <s:c r="E13" s="9"/>
    </s:row>
    <s:row r="14" ht="12.75" customHeight="1">
      <s:c r="B14" s="10" t="s">
        <s:v>17</s:v>
      </s:c>
      <s:c r="C14" s="8"/>
      <s:c r="D14" s="8">
        <s:v>190000</s:v>
      </s:c>
      <s:c r="E14" s="9"/>
    </s:row>
    <s:row r="15" ht="12.75" customHeight="1">
      <s:c r="B15" s="7"/>
      <s:c r="C15" s="8"/>
      <s:c r="D15" s="14"/>
      <s:c r="E15" s="9"/>
    </s:row>
    <s:row r="16" ht="12.75" customHeight="1">
      <s:c r="B16" s="13" t="s">
        <s:v>18</s:v>
      </s:c>
      <s:c r="C16" s="8"/>
      <s:c r="D16" s="8"/>
      <s:c r="E16" s="9"/>
    </s:row>
    <s:row r="17" ht="12.75" customHeight="1">
      <s:c r="B17" s="10" t="s">
        <s:v>52</s:v>
      </s:c>
      <s:c r="C17" s="8"/>
      <s:c r="D17" s="8">
        <s:v>204000</s:v>
      </s:c>
      <s:c r="E17" s="9"/>
    </s:row>
    <s:row r="18" ht="12.75" customHeight="1">
      <s:c r="B18" s="10" t="s">
        <s:v>20</s:v>
      </s:c>
      <s:c r="C18" s="8"/>
      <s:c r="D18" s="8">
        <s:v>30000</s:v>
      </s:c>
      <s:c r="E18" s="9"/>
    </s:row>
    <s:row r="19" ht="12.75" customHeight="1">
      <s:c r="B19" s="10" t="s">
        <s:v>21</s:v>
      </s:c>
      <s:c r="C19" s="8"/>
      <s:c r="D19" s="8">
        <s:v>8000</s:v>
      </s:c>
      <s:c r="E19" s="9"/>
    </s:row>
    <s:row r="20" ht="12.75" customHeight="1">
      <s:c r="B20" s="10" t="s">
        <s:v>22</s:v>
      </s:c>
      <s:c r="C20" s="8"/>
      <s:c r="D20" s="8">
        <s:v>4200</s:v>
      </s:c>
      <s:c r="E20" s="9"/>
    </s:row>
    <s:row r="21" ht="12.75" customHeight="1">
      <s:c r="B21" s="10" t="s">
        <s:v>53</s:v>
      </s:c>
      <s:c r="C21" s="8"/>
      <s:c r="D21" s="8">
        <s:v>42000</s:v>
      </s:c>
      <s:c r="E21" s="9"/>
    </s:row>
    <s:row r="22" ht="12.75" customHeight="1">
      <s:c r="B22" s="7"/>
      <s:c r="C22" s="8"/>
      <s:c r="D22" s="8"/>
      <s:c r="E22" s="9"/>
    </s:row>
    <s:row r="23" ht="12.75" customHeight="1">
      <s:c r="B23" s="13" t="s">
        <s:v>24</s:v>
      </s:c>
      <s:c r="C23" s="8"/>
      <s:c r="D23" s="8"/>
      <s:c r="E23" s="9"/>
    </s:row>
    <s:row r="24" ht="12.75" customHeight="1">
      <s:c r="B24" s="10" t="s">
        <s:v>25</s:v>
      </s:c>
      <s:c r="C24" s="8"/>
      <s:c r="D24" s="8">
        <s:v>15000</s:v>
      </s:c>
      <s:c r="E24" s="9"/>
    </s:row>
    <s:row r="25" ht="12.75" customHeight="1">
      <s:c r="B25" s="10" t="s">
        <s:v>26</s:v>
      </s:c>
      <s:c r="C25" s="8"/>
      <s:c r="D25" s="8">
        <s:v>15000</s:v>
      </s:c>
      <s:c r="E25" s="9"/>
    </s:row>
    <s:row r="26" ht="12.75" customHeight="1">
      <s:c r="B26" s="10" t="s">
        <s:v>27</s:v>
      </s:c>
      <s:c r="C26" s="8"/>
      <s:c r="D26" s="8">
        <s:v>45000</s:v>
      </s:c>
      <s:c r="E26" s="9"/>
    </s:row>
    <s:row r="27" ht="12.75" customHeight="1">
      <s:c r="B27" s="10" t="s">
        <s:v>54</s:v>
      </s:c>
      <s:c r="C27" s="8"/>
      <s:c r="D27" s="8">
        <s:v>60000</s:v>
      </s:c>
      <s:c r="E27" s="9"/>
    </s:row>
    <s:row r="28" ht="12.75" customHeight="1">
      <s:c r="B28" s="10" t="s">
        <s:v>29</s:v>
      </s:c>
      <s:c r="C28" s="8"/>
      <s:c r="D28" s="8">
        <s:v>90000</s:v>
      </s:c>
      <s:c r="E28" s="9"/>
    </s:row>
    <s:row r="29" ht="12.75" customHeight="1">
      <s:c r="B29" s="10"/>
      <s:c r="C29" s="8"/>
      <s:c r="D29" s="8"/>
      <s:c r="E29" s="9"/>
    </s:row>
    <s:row r="30" ht="12.75" customHeight="1">
      <s:c r="B30" s="13" t="s">
        <s:v>30</s:v>
      </s:c>
      <s:c r="C30" s="8"/>
      <s:c r="D30" s="8"/>
      <s:c r="E30" s="9"/>
    </s:row>
    <s:row r="31" ht="12.75" customHeight="1">
      <s:c r="B31" s="10" t="s">
        <s:v>31</s:v>
      </s:c>
      <s:c r="C31" s="8"/>
      <s:c r="D31" s="8">
        <s:v>70000</s:v>
      </s:c>
      <s:c r="E31" s="9"/>
    </s:row>
    <s:row r="32" ht="12.75" customHeight="1">
      <s:c r="B32" s="10" t="s">
        <s:v>32</s:v>
      </s:c>
      <s:c r="C32" s="8"/>
      <s:c r="D32" s="8">
        <s:v>40000</s:v>
      </s:c>
      <s:c r="E32" s="9"/>
    </s:row>
    <s:row r="33" ht="12.75" customHeight="1">
      <s:c r="B33" s="10"/>
      <s:c r="C33" s="8"/>
      <s:c r="D33" s="8"/>
      <s:c r="E33" s="9"/>
    </s:row>
    <s:row r="34" ht="12.75" customHeight="1">
      <s:c r="B34" s="13" t="s">
        <s:v>33</s:v>
      </s:c>
      <s:c r="C34" s="8"/>
      <s:c r="D34" s="8"/>
      <s:c r="E34" s="9"/>
    </s:row>
    <s:row r="35" ht="12.75" customHeight="1">
      <s:c r="B35" s="10" t="s">
        <s:v>34</s:v>
      </s:c>
      <s:c r="C35" s="8"/>
      <s:c r="D35" s="8">
        <s:v>20000</s:v>
      </s:c>
      <s:c r="E35" s="9"/>
    </s:row>
    <s:row r="36" ht="12.75" customHeight="1">
      <s:c r="B36" s="10" t="s">
        <s:v>35</s:v>
      </s:c>
      <s:c r="C36" s="8"/>
      <s:c r="D36" s="8">
        <s:v>30000</s:v>
      </s:c>
      <s:c r="E36" s="9"/>
    </s:row>
    <s:row r="37" ht="12.75" customHeight="1">
      <s:c r="B37" s="10" t="s">
        <s:v>36</s:v>
      </s:c>
      <s:c r="C37" s="8"/>
      <s:c r="D37" s="8">
        <s:v>12000</s:v>
      </s:c>
      <s:c r="E37" s="9"/>
    </s:row>
    <s:row r="38" ht="12.75" customHeight="1">
      <s:c r="B38" s="10" t="s">
        <s:v>37</s:v>
      </s:c>
      <s:c r="C38" s="8"/>
      <s:c r="D38" s="8">
        <s:v>8000</s:v>
      </s:c>
      <s:c r="E38" s="9"/>
    </s:row>
    <s:row r="39" ht="12.75" customHeight="1">
      <s:c r="B39" s="10" t="s">
        <s:v>38</s:v>
      </s:c>
      <s:c r="C39" s="8"/>
      <s:c r="D39" s="8">
        <s:v>120000</s:v>
      </s:c>
      <s:c r="E39" s="9"/>
    </s:row>
    <s:row r="40" ht="12.75" customHeight="1">
      <s:c r="B40" s="10" t="s">
        <s:v>39</s:v>
      </s:c>
      <s:c r="C40" s="8"/>
      <s:c r="D40" s="8">
        <s:v>145000</s:v>
      </s:c>
      <s:c r="E40" s="9"/>
    </s:row>
    <s:row r="41" ht="12.75" customHeight="1">
      <s:c r="B41" s="10" t="s">
        <s:v>40</s:v>
      </s:c>
      <s:c r="C41" s="8"/>
      <s:c r="D41" s="8">
        <s:v>30000</s:v>
      </s:c>
      <s:c r="E41" s="9"/>
    </s:row>
    <s:row r="42" ht="12.75" customHeight="1">
      <s:c r="B42" s="10" t="s">
        <s:v>41</s:v>
      </s:c>
      <s:c r="C42" s="8"/>
      <s:c r="D42" s="8">
        <s:v>30000</s:v>
      </s:c>
      <s:c r="E42" s="9"/>
    </s:row>
    <s:row r="43" ht="12.75" customHeight="1">
      <s:c r="B43" s="10" t="s">
        <s:v>42</s:v>
      </s:c>
      <s:c r="C43" s="8"/>
      <s:c r="D43" s="8">
        <s:v>3000</s:v>
      </s:c>
      <s:c r="E43" s="9"/>
    </s:row>
    <s:row r="44" ht="12.75" customHeight="1">
      <s:c r="B44" s="10" t="s">
        <s:v>43</s:v>
      </s:c>
      <s:c r="C44" s="8"/>
      <s:c r="D44" s="8">
        <s:v>40000</s:v>
      </s:c>
      <s:c r="E44" s="9"/>
    </s:row>
    <s:row r="45" ht="12.75" customHeight="1">
      <s:c r="B45" s="13" t="s">
        <s:v>45</s:v>
      </s:c>
      <s:c r="C45" s="8"/>
      <s:c r="D45" s="14">
        <s:f>SUM(D8:D44)</s:f>
        <s:v>1606600</s:v>
      </s:c>
      <s:c r="E45" s="9"/>
    </s:row>
    <s:row r="46" ht="12.75" customHeight="1">
      <s:c r="B46" s="10"/>
      <s:c r="C46" s="8"/>
      <s:c r="D46" s="10"/>
      <s:c r="E46" s="9"/>
    </s:row>
    <s:row r="47" ht="15.75" customHeight="1">
      <s:c r="B47" s="13" t="s">
        <s:v>47</s:v>
      </s:c>
      <s:c r="C47" s="8"/>
      <s:c r="D47" s="16">
        <s:f validation_="true">D45/E4</s:f>
        <s:v>1748.26164074997</s:v>
      </s:c>
      <s:c r="E47" s="17"/>
    </s:row>
    <s:row r="48" ht="12.8" customHeight="1">
      <s:c r="B48" s="1"/>
      <s:c r="C48" s="1"/>
      <s:c r="D48" s="1"/>
    </s:row>
    <s:row r="49" ht="12.8" customHeight="1">
      <s:c r="B49" s="1"/>
      <s:c r="C49" s="1"/>
      <s:c r="D49" s="1"/>
    </s:row>
    <s:row r="50" ht="12.8" customHeight="1">
      <s:c r="B50" s="1"/>
      <s:c r="C50" s="1"/>
      <s:c r="D50" s="1"/>
    </s:row>
    <s:row r="51" ht="12.8" customHeight="1">
      <s:c r="B51" s="1"/>
      <s:c r="C51" s="1"/>
      <s:c r="D51" s="1"/>
    </s:row>
    <s:row r="52" ht="12.8" customHeight="1">
      <s:c r="B52" s="1"/>
      <s:c r="C52" s="1"/>
    </s:row>
    <s:row r="53" ht="12.8" customHeight="1">
      <s:c r="C53" s="1"/>
    </s:row>
    <s:row r="54" ht="12.8" customHeight="1">
      <s:c r="C54" s="1"/>
    </s:row>
  </s:sheetData>
  <s:conditionalFormatting sqref="B2:E47">
    <s:cfRule type="expression" dxfId="0" priority="1" stopIfTrue="0">
      <s:formula>MOD(ROW(),2)=0</s:formula>
    </s:cfRule>
  </s:conditionalFormatting>
  <s:conditionalFormatting sqref="B4:E4">
    <s:cfRule type="expression" dxfId="0" priority="1">
      <s:formula>MOD(ROW(),2)=0</s:formula>
    </s:cfRule>
  </s:conditionalFormatting>
  <s:printOptions headings="0" gridLines="0"/>
  <s:pageMargins left="0.252" right="0.252" top="0.752" bottom="0.752" header="0.788" footer="0.788"/>
  <s:pageSetup paperSize="9" scale="100" firstPageNumber="1" fitToWidth="1" fitToHeight="1" pageOrder="downThenOver" orientation="portrait" usePrinterDefaults="1" blackAndWhite="0" draft="0" cellComments="none" useFirstPageNumber="1" errors="displayed" horizontalDpi="300" verticalDpi="300" copies="1"/>
  <s:headerFooter>
    <s:oddHeader>&amp;C&amp;"Times New Roman,Regular "&amp;12&amp;A</s:oddHeader>
    <s:oddFooter>&amp;C&amp;"Times New Roman,Regular "&amp;12Страница &amp;P</s:oddFooter>
  </s:headerFooter>
</s:worksheet>
</file>

<file path=docProps/app.xml><?xml version="1.0" encoding="utf-8"?>
<ep:Properties xmlns:ep="http://schemas.openxmlformats.org/officeDocument/2006/extended-properties">
  <ep:Application>R7-Office/2024.1.1.375</ep:Application>
  <ep:Template/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title/>
  <dc:subject/>
  <dc:creator/>
  <dc:description/>
  <dc:language>ru-RU</dc:language>
  <cp:lastModifiedBy>Михаил П.</cp:lastModifiedBy>
  <cp:revision>16</cp:revision>
  <dcterms:modified xsi:type="dcterms:W3CDTF">2025-09-14T15:09:48Z</dcterms:modified>
</cp:coreProperties>
</file>

<file path=docProps/custom.xml><?xml version="1.0" encoding="utf-8"?>
<customProperties:Properties xmlns:customProperties="http://schemas.openxmlformats.org/officeDocument/2006/custom-properties"/>
</file>